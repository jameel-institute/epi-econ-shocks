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imperiallondon-my.sharepoint.com/personal/pd315_ic_ac_uk/Documents/RA in Health Systems Analysis/Code/ukhsa_epiecon/epi-econ-shocks/data/raw/casestudy_01/"/>
    </mc:Choice>
  </mc:AlternateContent>
  <xr:revisionPtr revIDLastSave="2" documentId="8_{F97EDEA5-0334-4FFB-9AC1-3C517A92CC37}" xr6:coauthVersionLast="47" xr6:coauthVersionMax="47" xr10:uidLastSave="{9D3529B7-5070-4087-9595-8C5CF80BED6D}"/>
  <bookViews>
    <workbookView xWindow="-120" yWindow="-120" windowWidth="29040" windowHeight="15720" xr2:uid="{00000000-000D-0000-FFFF-FFFF00000000}"/>
  </bookViews>
  <sheets>
    <sheet name="Table" sheetId="1" r:id="rId1"/>
    <sheet name="Overview"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G11" i="1"/>
  <c r="G12" i="1"/>
  <c r="G13" i="1"/>
  <c r="G14" i="1"/>
  <c r="G15" i="1"/>
  <c r="G16" i="1"/>
  <c r="G17" i="1"/>
  <c r="G18" i="1"/>
  <c r="G19" i="1"/>
  <c r="G20" i="1"/>
  <c r="G21" i="1"/>
  <c r="G22" i="1"/>
  <c r="G23" i="1"/>
  <c r="G24" i="1"/>
  <c r="G25" i="1"/>
  <c r="G26" i="1"/>
  <c r="G27" i="1"/>
  <c r="G28" i="1"/>
  <c r="G9" i="1"/>
</calcChain>
</file>

<file path=xl/sharedStrings.xml><?xml version="1.0" encoding="utf-8"?>
<sst xmlns="http://schemas.openxmlformats.org/spreadsheetml/2006/main" count="82" uniqueCount="40">
  <si>
    <t>Annual employment by detailed economic activity, domestic concept</t>
  </si>
  <si>
    <t>Reference area: United Kingdom</t>
  </si>
  <si>
    <t>Institutional sector: Total economy</t>
  </si>
  <si>
    <t>Counterpart institutional sector: Total economy</t>
  </si>
  <si>
    <t>Transaction: Total employment</t>
  </si>
  <si>
    <t>Time period: 2024</t>
  </si>
  <si>
    <t>Economic activity</t>
  </si>
  <si>
    <t>Combined unit of measure</t>
  </si>
  <si>
    <t/>
  </si>
  <si>
    <t>Agriculture, forestry and fishing</t>
  </si>
  <si>
    <t>Persons, Thousands</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</si>
  <si>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</si>
  <si>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</si>
  <si>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</si>
  <si>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</si>
  <si>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</si>
  <si>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</si>
  <si>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</si>
  <si>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</si>
  <si>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</si>
  <si>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</si>
  <si>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</si>
  <si>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</si>
  <si>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</si>
  <si>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</si>
  <si>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Education</t>
  </si>
  <si>
    <t>Human health and social work activities</t>
  </si>
  <si>
    <t>Arts, entertainment and recreation</t>
  </si>
  <si>
    <t>Other service activities</t>
  </si>
  <si>
    <t>Activities of households as employers; undifferentiated goods- and services-producing activities of households for own use</t>
  </si>
  <si>
    <t xml:space="preserve">© Terms &amp; conditions </t>
  </si>
  <si>
    <t>This table presents employment data by economic activity based on detailed breakdowns of Revision 4 of the International Standard Industrial Classification of All Economic Activities (ISIC), according to the domestic concept. The domestic concept is defined by the location of the producer unit: employees are residents and non-residents employed by resident producer units; and self-employed people are resident and non-resident self-employed people in resident producer units. &lt;br&gt;&lt;br&gt;The presentation is on a country-by-country basis. Users are recommended to select one country (or area) at a time in the ‘Reference area’ filter. The default view of the table is for persons, but users can select alternative views for jobs and hours using the ‘Unit of measure’ filter.&lt;br&gt;&lt;br&gt;These indicators were presented in the previous dissemination system in the SNA_TABLE7A dataset. 
&lt;br&gt; See ANA Changes for information on changes in methodology:  &lt;a href="https://stats.oecd.org/wbos/fileview2.aspx?IDFile=e81c82e7-ad8b-4ab9-8b4c-8c3e1e104c9b"&gt;ANA Changes&lt;/a&gt; &lt;br&gt;
Explore also the GDP and non-financial accounts webpage: &lt;a href="https://www.oecd.org/en/data/datasets/gdp-and-non-financial-accounts.html"&gt;GDP and non-financial accounts webpage&lt;/a&gt;&lt;br&gt;OECD statistics contact: &lt;a href="mailto:STAT.Contact@oecd.org"&gt;STAT.Contact@oecd.org&lt;/a&gt;</t>
  </si>
  <si>
    <t>Institutional sector: Total economy • Counterpart institutional sector: Total economy</t>
  </si>
  <si>
    <t>Topic: Economy &gt; National accounts &gt; GDP and non-financial accounts &gt; Production, employment and investment</t>
  </si>
  <si>
    <t xml:space="preserve">Number of unfiltered data points: 649167 </t>
  </si>
  <si>
    <t xml:space="preserve">Last updated: March 22, 2026 at 4:48:01 AM </t>
  </si>
  <si>
    <t>You might also be interested in these data:</t>
  </si>
  <si>
    <t>Annual employment and population (for 'Developer API')</t>
  </si>
  <si>
    <t>Annual employment by economic activity, domestic concept</t>
  </si>
  <si>
    <t>Annual value added and its components by economic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</si>
</sst>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9" x14ac:knownFonts="1">
    <font>
      <sz val="11"/>
      <color theme="1"/>
      <name val="Calibri"/>
      <family val="2"/>
      <scheme val="minor"/>
    </font>
    <font>
      <b/>
      <sz val="11"/>
      <name val="Calibri"/>
    </font>
    <font>
      <sz val="11"/>
      <name val="Calibri"/>
    </font>
    <font>
      <sz val="11"/>
      <name val="Calibri"/>
    </font>
    <font>
      <sz val="11"/>
      <name val="Calibri"/>
    </font>
    <font>
      <sz val="11"/>
      <name val="Calibri"/>
    </font>
    <font>
      <sz val="11"/>
      <name val="Calibri"/>
    </font>
    <font>
      <b/>
      <sz val="11"/>
      <color rgb="FF000000"/>
      <name val="Calibri"/>
    </font>
    <font>
      <b/>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sz val="11"/>
      <color rgb="FF000000"/>
      <name val="Calibri"/>
    </font>
    <font>
      <sz val="11"/>
      <color rgb="FF000000"/>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s>
  <fills count="100">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solid">
        <fgColor rgb="FFF1F1F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solid">
        <fgColor rgb="FFE2F2F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9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99">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5" fillId="6" borderId="5" xfId="0" applyFont="1" applyFill="1" applyBorder="1" applyAlignment="1">
      <alignment horizontal="left" readingOrder="1"/>
    </xf>
    <xf numFmtId="0" fontId="6" fillId="7" borderId="6" xfId="0" applyFont="1" applyFill="1" applyBorder="1" applyAlignment="1">
      <alignment horizontal="left" readingOrder="1"/>
    </xf>
    <xf numFmtId="0" fontId="7" fillId="8" borderId="7" xfId="0" applyFont="1" applyFill="1" applyBorder="1" applyAlignment="1">
      <alignment horizontal="left" vertical="top" wrapText="1" readingOrder="1"/>
    </xf>
    <xf numFmtId="0" fontId="8" fillId="9" borderId="8" xfId="0" applyFont="1" applyFill="1" applyBorder="1" applyAlignment="1">
      <alignment horizontal="left" vertical="top" wrapText="1" readingOrder="1"/>
    </xf>
    <xf numFmtId="0" fontId="9" fillId="10" borderId="9" xfId="0" applyFont="1" applyFill="1" applyBorder="1" applyAlignment="1">
      <alignment horizontal="left" vertical="top" wrapText="1" readingOrder="1"/>
    </xf>
    <xf numFmtId="0" fontId="10" fillId="11" borderId="10" xfId="0" applyFont="1" applyFill="1" applyBorder="1" applyAlignment="1">
      <alignment horizontal="left" vertical="top" wrapText="1" readingOrder="1"/>
    </xf>
    <xf numFmtId="0" fontId="11" fillId="12" borderId="11" xfId="0" applyFont="1" applyFill="1" applyBorder="1" applyAlignment="1">
      <alignment horizontal="left" vertical="top" wrapText="1" readingOrder="1"/>
    </xf>
    <xf numFmtId="0" fontId="12" fillId="13" borderId="12" xfId="0" applyFont="1" applyFill="1" applyBorder="1" applyAlignment="1">
      <alignment horizontal="left" vertical="top" wrapText="1" readingOrder="1"/>
    </xf>
    <xf numFmtId="0" fontId="13" fillId="14" borderId="13" xfId="0" applyFont="1" applyFill="1" applyBorder="1" applyAlignment="1">
      <alignment horizontal="right" vertical="top" wrapText="1" readingOrder="1"/>
    </xf>
    <xf numFmtId="164" fontId="14" fillId="15" borderId="14" xfId="0" applyNumberFormat="1" applyFont="1" applyFill="1" applyBorder="1" applyAlignment="1">
      <alignment horizontal="right" wrapText="1" readingOrder="1"/>
    </xf>
    <xf numFmtId="0" fontId="15" fillId="16" borderId="15" xfId="0" applyFont="1" applyFill="1" applyBorder="1" applyAlignment="1">
      <alignment horizontal="left" vertical="top" wrapText="1" readingOrder="1"/>
    </xf>
    <xf numFmtId="0" fontId="16" fillId="17" borderId="16" xfId="0" applyFont="1" applyFill="1" applyBorder="1" applyAlignment="1">
      <alignment horizontal="left" vertical="top" wrapText="1" readingOrder="1"/>
    </xf>
    <xf numFmtId="0" fontId="17" fillId="18" borderId="17" xfId="0" applyFont="1" applyFill="1" applyBorder="1" applyAlignment="1">
      <alignment horizontal="right" vertical="top" wrapText="1" readingOrder="1"/>
    </xf>
    <xf numFmtId="164" fontId="18" fillId="19" borderId="18" xfId="0" applyNumberFormat="1" applyFont="1" applyFill="1" applyBorder="1" applyAlignment="1">
      <alignment horizontal="right" wrapText="1" readingOrder="1"/>
    </xf>
    <xf numFmtId="0" fontId="19" fillId="20" borderId="19" xfId="0" applyFont="1" applyFill="1" applyBorder="1" applyAlignment="1">
      <alignment horizontal="left" vertical="top" wrapText="1" readingOrder="1"/>
    </xf>
    <xf numFmtId="0" fontId="20" fillId="21" borderId="20" xfId="0" applyFont="1" applyFill="1" applyBorder="1" applyAlignment="1">
      <alignment horizontal="left" vertical="top" wrapText="1" readingOrder="1"/>
    </xf>
    <xf numFmtId="0" fontId="21" fillId="22" borderId="21" xfId="0" applyFont="1" applyFill="1" applyBorder="1" applyAlignment="1">
      <alignment horizontal="right" vertical="top" wrapText="1" readingOrder="1"/>
    </xf>
    <xf numFmtId="164" fontId="22" fillId="23" borderId="22" xfId="0" applyNumberFormat="1" applyFont="1" applyFill="1" applyBorder="1" applyAlignment="1">
      <alignment horizontal="right" wrapText="1" readingOrder="1"/>
    </xf>
    <xf numFmtId="0" fontId="23" fillId="24" borderId="23" xfId="0" applyFont="1" applyFill="1" applyBorder="1" applyAlignment="1">
      <alignment horizontal="left" vertical="top" wrapText="1" readingOrder="1"/>
    </xf>
    <xf numFmtId="0" fontId="24" fillId="25" borderId="24" xfId="0" applyFont="1" applyFill="1" applyBorder="1" applyAlignment="1">
      <alignment horizontal="left" vertical="top" wrapText="1" readingOrder="1"/>
    </xf>
    <xf numFmtId="0" fontId="25" fillId="26" borderId="25" xfId="0" applyFont="1" applyFill="1" applyBorder="1" applyAlignment="1">
      <alignment horizontal="right" vertical="top" wrapText="1" readingOrder="1"/>
    </xf>
    <xf numFmtId="164" fontId="26" fillId="27" borderId="26" xfId="0" applyNumberFormat="1" applyFont="1" applyFill="1" applyBorder="1" applyAlignment="1">
      <alignment horizontal="right" wrapText="1" readingOrder="1"/>
    </xf>
    <xf numFmtId="0" fontId="27" fillId="28" borderId="27" xfId="0" applyFont="1" applyFill="1" applyBorder="1" applyAlignment="1">
      <alignment horizontal="left" vertical="top" wrapText="1" readingOrder="1"/>
    </xf>
    <xf numFmtId="0" fontId="28" fillId="29" borderId="28" xfId="0" applyFont="1" applyFill="1" applyBorder="1" applyAlignment="1">
      <alignment horizontal="left" vertical="top" wrapText="1" readingOrder="1"/>
    </xf>
    <xf numFmtId="0" fontId="29" fillId="30" borderId="29" xfId="0" applyFont="1" applyFill="1" applyBorder="1" applyAlignment="1">
      <alignment horizontal="right" vertical="top" wrapText="1" readingOrder="1"/>
    </xf>
    <xf numFmtId="164" fontId="30" fillId="31" borderId="30" xfId="0" applyNumberFormat="1" applyFont="1" applyFill="1" applyBorder="1" applyAlignment="1">
      <alignment horizontal="right" wrapText="1" readingOrder="1"/>
    </xf>
    <xf numFmtId="0" fontId="31" fillId="32" borderId="31" xfId="0" applyFont="1" applyFill="1" applyBorder="1" applyAlignment="1">
      <alignment horizontal="left" vertical="top" wrapText="1" readingOrder="1"/>
    </xf>
    <xf numFmtId="0" fontId="32" fillId="33" borderId="32" xfId="0" applyFont="1" applyFill="1" applyBorder="1" applyAlignment="1">
      <alignment horizontal="left" vertical="top" wrapText="1" readingOrder="1"/>
    </xf>
    <xf numFmtId="0" fontId="33" fillId="34" borderId="33" xfId="0" applyFont="1" applyFill="1" applyBorder="1" applyAlignment="1">
      <alignment horizontal="right" vertical="top" wrapText="1" readingOrder="1"/>
    </xf>
    <xf numFmtId="164" fontId="34" fillId="35" borderId="34" xfId="0" applyNumberFormat="1" applyFont="1" applyFill="1" applyBorder="1" applyAlignment="1">
      <alignment horizontal="right" wrapText="1" readingOrder="1"/>
    </xf>
    <xf numFmtId="0" fontId="35" fillId="36" borderId="35" xfId="0" applyFont="1" applyFill="1" applyBorder="1" applyAlignment="1">
      <alignment horizontal="left" vertical="top" wrapText="1" readingOrder="1"/>
    </xf>
    <xf numFmtId="0" fontId="36" fillId="37" borderId="36" xfId="0" applyFont="1" applyFill="1" applyBorder="1" applyAlignment="1">
      <alignment horizontal="left" vertical="top" wrapText="1" readingOrder="1"/>
    </xf>
    <xf numFmtId="0" fontId="37" fillId="38" borderId="37" xfId="0" applyFont="1" applyFill="1" applyBorder="1" applyAlignment="1">
      <alignment horizontal="right" vertical="top" wrapText="1" readingOrder="1"/>
    </xf>
    <xf numFmtId="164" fontId="38" fillId="39" borderId="38" xfId="0" applyNumberFormat="1" applyFont="1" applyFill="1" applyBorder="1" applyAlignment="1">
      <alignment horizontal="right" wrapText="1" readingOrder="1"/>
    </xf>
    <xf numFmtId="0" fontId="39" fillId="40" borderId="39" xfId="0" applyFont="1" applyFill="1" applyBorder="1" applyAlignment="1">
      <alignment horizontal="left" vertical="top" wrapText="1" readingOrder="1"/>
    </xf>
    <xf numFmtId="0" fontId="40" fillId="41" borderId="40" xfId="0" applyFont="1" applyFill="1" applyBorder="1" applyAlignment="1">
      <alignment horizontal="left" vertical="top" wrapText="1" readingOrder="1"/>
    </xf>
    <xf numFmtId="0" fontId="41" fillId="42" borderId="41" xfId="0" applyFont="1" applyFill="1" applyBorder="1" applyAlignment="1">
      <alignment horizontal="right" vertical="top" wrapText="1" readingOrder="1"/>
    </xf>
    <xf numFmtId="164" fontId="42" fillId="43" borderId="42" xfId="0" applyNumberFormat="1" applyFont="1" applyFill="1" applyBorder="1" applyAlignment="1">
      <alignment horizontal="right" wrapText="1" readingOrder="1"/>
    </xf>
    <xf numFmtId="0" fontId="43" fillId="44" borderId="43" xfId="0" applyFont="1" applyFill="1" applyBorder="1" applyAlignment="1">
      <alignment horizontal="left" vertical="top" wrapText="1" readingOrder="1"/>
    </xf>
    <xf numFmtId="0" fontId="44" fillId="45" borderId="44" xfId="0" applyFont="1" applyFill="1" applyBorder="1" applyAlignment="1">
      <alignment horizontal="left" vertical="top" wrapText="1" readingOrder="1"/>
    </xf>
    <xf numFmtId="0" fontId="45" fillId="46" borderId="45" xfId="0" applyFont="1" applyFill="1" applyBorder="1" applyAlignment="1">
      <alignment horizontal="right" vertical="top" wrapText="1" readingOrder="1"/>
    </xf>
    <xf numFmtId="164" fontId="46" fillId="47" borderId="46" xfId="0" applyNumberFormat="1" applyFont="1" applyFill="1" applyBorder="1" applyAlignment="1">
      <alignment horizontal="right" wrapText="1" readingOrder="1"/>
    </xf>
    <xf numFmtId="0" fontId="47" fillId="48" borderId="47" xfId="0" applyFont="1" applyFill="1" applyBorder="1" applyAlignment="1">
      <alignment horizontal="left" vertical="top" wrapText="1" readingOrder="1"/>
    </xf>
    <xf numFmtId="0" fontId="48" fillId="49" borderId="48" xfId="0" applyFont="1" applyFill="1" applyBorder="1" applyAlignment="1">
      <alignment horizontal="left" vertical="top" wrapText="1" readingOrder="1"/>
    </xf>
    <xf numFmtId="0" fontId="49" fillId="50" borderId="49" xfId="0" applyFont="1" applyFill="1" applyBorder="1" applyAlignment="1">
      <alignment horizontal="right" vertical="top" wrapText="1" readingOrder="1"/>
    </xf>
    <xf numFmtId="164" fontId="50" fillId="51" borderId="50" xfId="0" applyNumberFormat="1" applyFont="1" applyFill="1" applyBorder="1" applyAlignment="1">
      <alignment horizontal="right" wrapText="1" readingOrder="1"/>
    </xf>
    <xf numFmtId="0" fontId="51" fillId="52" borderId="51" xfId="0" applyFont="1" applyFill="1" applyBorder="1" applyAlignment="1">
      <alignment horizontal="left" vertical="top" wrapText="1" readingOrder="1"/>
    </xf>
    <xf numFmtId="0" fontId="52" fillId="53" borderId="52" xfId="0" applyFont="1" applyFill="1" applyBorder="1" applyAlignment="1">
      <alignment horizontal="left" vertical="top" wrapText="1" readingOrder="1"/>
    </xf>
    <xf numFmtId="0" fontId="53" fillId="54" borderId="53" xfId="0" applyFont="1" applyFill="1" applyBorder="1" applyAlignment="1">
      <alignment horizontal="right" vertical="top" wrapText="1" readingOrder="1"/>
    </xf>
    <xf numFmtId="164" fontId="54" fillId="55" borderId="54" xfId="0" applyNumberFormat="1" applyFont="1" applyFill="1" applyBorder="1" applyAlignment="1">
      <alignment horizontal="right" wrapText="1" readingOrder="1"/>
    </xf>
    <xf numFmtId="0" fontId="55" fillId="56" borderId="55" xfId="0" applyFont="1" applyFill="1" applyBorder="1" applyAlignment="1">
      <alignment horizontal="left" vertical="top" wrapText="1" readingOrder="1"/>
    </xf>
    <xf numFmtId="0" fontId="56" fillId="57" borderId="56" xfId="0" applyFont="1" applyFill="1" applyBorder="1" applyAlignment="1">
      <alignment horizontal="left" vertical="top" wrapText="1" readingOrder="1"/>
    </xf>
    <xf numFmtId="0" fontId="57" fillId="58" borderId="57" xfId="0" applyFont="1" applyFill="1" applyBorder="1" applyAlignment="1">
      <alignment horizontal="right" vertical="top" wrapText="1" readingOrder="1"/>
    </xf>
    <xf numFmtId="164" fontId="58" fillId="59" borderId="58" xfId="0" applyNumberFormat="1" applyFont="1" applyFill="1" applyBorder="1" applyAlignment="1">
      <alignment horizontal="right" wrapText="1" readingOrder="1"/>
    </xf>
    <xf numFmtId="0" fontId="59" fillId="60" borderId="59" xfId="0" applyFont="1" applyFill="1" applyBorder="1" applyAlignment="1">
      <alignment horizontal="left" vertical="top" wrapText="1" readingOrder="1"/>
    </xf>
    <xf numFmtId="0" fontId="60" fillId="61" borderId="60" xfId="0" applyFont="1" applyFill="1" applyBorder="1" applyAlignment="1">
      <alignment horizontal="left" vertical="top" wrapText="1" readingOrder="1"/>
    </xf>
    <xf numFmtId="0" fontId="61" fillId="62" borderId="61" xfId="0" applyFont="1" applyFill="1" applyBorder="1" applyAlignment="1">
      <alignment horizontal="right" vertical="top" wrapText="1" readingOrder="1"/>
    </xf>
    <xf numFmtId="164" fontId="62" fillId="63" borderId="62" xfId="0" applyNumberFormat="1" applyFont="1" applyFill="1" applyBorder="1" applyAlignment="1">
      <alignment horizontal="right" wrapText="1" readingOrder="1"/>
    </xf>
    <xf numFmtId="0" fontId="63" fillId="64" borderId="63" xfId="0" applyFont="1" applyFill="1" applyBorder="1" applyAlignment="1">
      <alignment horizontal="left" vertical="top" wrapText="1" readingOrder="1"/>
    </xf>
    <xf numFmtId="0" fontId="64" fillId="65" borderId="64" xfId="0" applyFont="1" applyFill="1" applyBorder="1" applyAlignment="1">
      <alignment horizontal="left" vertical="top" wrapText="1" readingOrder="1"/>
    </xf>
    <xf numFmtId="0" fontId="65" fillId="66" borderId="65" xfId="0" applyFont="1" applyFill="1" applyBorder="1" applyAlignment="1">
      <alignment horizontal="right" vertical="top" wrapText="1" readingOrder="1"/>
    </xf>
    <xf numFmtId="164" fontId="66" fillId="67" borderId="66" xfId="0" applyNumberFormat="1" applyFont="1" applyFill="1" applyBorder="1" applyAlignment="1">
      <alignment horizontal="right" wrapText="1" readingOrder="1"/>
    </xf>
    <xf numFmtId="0" fontId="67" fillId="68" borderId="67" xfId="0" applyFont="1" applyFill="1" applyBorder="1" applyAlignment="1">
      <alignment horizontal="left" vertical="top" wrapText="1" readingOrder="1"/>
    </xf>
    <xf numFmtId="0" fontId="68" fillId="69" borderId="68" xfId="0" applyFont="1" applyFill="1" applyBorder="1" applyAlignment="1">
      <alignment horizontal="left" vertical="top" wrapText="1" readingOrder="1"/>
    </xf>
    <xf numFmtId="0" fontId="69" fillId="70" borderId="69" xfId="0" applyFont="1" applyFill="1" applyBorder="1" applyAlignment="1">
      <alignment horizontal="right" vertical="top" wrapText="1" readingOrder="1"/>
    </xf>
    <xf numFmtId="164" fontId="70" fillId="71" borderId="70" xfId="0" applyNumberFormat="1" applyFont="1" applyFill="1" applyBorder="1" applyAlignment="1">
      <alignment horizontal="right" wrapText="1" readingOrder="1"/>
    </xf>
    <xf numFmtId="0" fontId="71" fillId="72" borderId="71" xfId="0" applyFont="1" applyFill="1" applyBorder="1" applyAlignment="1">
      <alignment horizontal="left" vertical="top" wrapText="1" readingOrder="1"/>
    </xf>
    <xf numFmtId="0" fontId="72" fillId="73" borderId="72" xfId="0" applyFont="1" applyFill="1" applyBorder="1" applyAlignment="1">
      <alignment horizontal="left" vertical="top" wrapText="1" readingOrder="1"/>
    </xf>
    <xf numFmtId="0" fontId="73" fillId="74" borderId="73" xfId="0" applyFont="1" applyFill="1" applyBorder="1" applyAlignment="1">
      <alignment horizontal="right" vertical="top" wrapText="1" readingOrder="1"/>
    </xf>
    <xf numFmtId="164" fontId="74" fillId="75" borderId="74" xfId="0" applyNumberFormat="1" applyFont="1" applyFill="1" applyBorder="1" applyAlignment="1">
      <alignment horizontal="right" wrapText="1" readingOrder="1"/>
    </xf>
    <xf numFmtId="0" fontId="75" fillId="76" borderId="75" xfId="0" applyFont="1" applyFill="1" applyBorder="1" applyAlignment="1">
      <alignment horizontal="left" vertical="top" wrapText="1" readingOrder="1"/>
    </xf>
    <xf numFmtId="0" fontId="76" fillId="77" borderId="76" xfId="0" applyFont="1" applyFill="1" applyBorder="1" applyAlignment="1">
      <alignment horizontal="left" vertical="top" wrapText="1" readingOrder="1"/>
    </xf>
    <xf numFmtId="0" fontId="77" fillId="78" borderId="77" xfId="0" applyFont="1" applyFill="1" applyBorder="1" applyAlignment="1">
      <alignment horizontal="right" vertical="top" wrapText="1" readingOrder="1"/>
    </xf>
    <xf numFmtId="164" fontId="78" fillId="79" borderId="78" xfId="0" applyNumberFormat="1" applyFont="1" applyFill="1" applyBorder="1" applyAlignment="1">
      <alignment horizontal="right" wrapText="1" readingOrder="1"/>
    </xf>
    <xf numFmtId="0" fontId="79" fillId="80" borderId="79" xfId="0" applyFont="1" applyFill="1" applyBorder="1" applyAlignment="1">
      <alignment horizontal="left" vertical="top" wrapText="1" readingOrder="1"/>
    </xf>
    <xf numFmtId="0" fontId="80" fillId="81" borderId="80" xfId="0" applyFont="1" applyFill="1" applyBorder="1" applyAlignment="1">
      <alignment horizontal="left" vertical="top" wrapText="1" readingOrder="1"/>
    </xf>
    <xf numFmtId="0" fontId="81" fillId="82" borderId="81" xfId="0" applyFont="1" applyFill="1" applyBorder="1" applyAlignment="1">
      <alignment horizontal="right" vertical="top" wrapText="1" readingOrder="1"/>
    </xf>
    <xf numFmtId="164" fontId="82" fillId="83" borderId="82" xfId="0" applyNumberFormat="1" applyFont="1" applyFill="1" applyBorder="1" applyAlignment="1">
      <alignment horizontal="right" wrapText="1" readingOrder="1"/>
    </xf>
    <xf numFmtId="0" fontId="83" fillId="84" borderId="83" xfId="0" applyFont="1" applyFill="1" applyBorder="1" applyAlignment="1">
      <alignment horizontal="left" vertical="top" wrapText="1" readingOrder="1"/>
    </xf>
    <xf numFmtId="0" fontId="84" fillId="85" borderId="84" xfId="0" applyFont="1" applyFill="1" applyBorder="1" applyAlignment="1">
      <alignment horizontal="left" vertical="top" wrapText="1" readingOrder="1"/>
    </xf>
    <xf numFmtId="0" fontId="85" fillId="86" borderId="85" xfId="0" applyFont="1" applyFill="1" applyBorder="1" applyAlignment="1">
      <alignment horizontal="right" vertical="top" wrapText="1" readingOrder="1"/>
    </xf>
    <xf numFmtId="164" fontId="86" fillId="87" borderId="86" xfId="0" applyNumberFormat="1" applyFont="1" applyFill="1" applyBorder="1" applyAlignment="1">
      <alignment horizontal="right" wrapText="1" readingOrder="1"/>
    </xf>
    <xf numFmtId="0" fontId="87" fillId="88" borderId="87" xfId="0" applyFont="1" applyFill="1" applyBorder="1" applyAlignment="1">
      <alignment horizontal="left" vertical="top" wrapText="1" readingOrder="1"/>
    </xf>
    <xf numFmtId="0" fontId="88" fillId="89" borderId="88" xfId="0" applyFont="1" applyFill="1" applyBorder="1" applyAlignment="1">
      <alignment horizontal="left" vertical="top" wrapText="1" readingOrder="1"/>
    </xf>
    <xf numFmtId="0" fontId="89" fillId="90" borderId="89" xfId="0" applyFont="1" applyFill="1" applyBorder="1" applyAlignment="1">
      <alignment horizontal="right" vertical="top" wrapText="1" readingOrder="1"/>
    </xf>
    <xf numFmtId="164" fontId="90" fillId="91" borderId="90" xfId="0" applyNumberFormat="1" applyFont="1" applyFill="1" applyBorder="1" applyAlignment="1">
      <alignment horizontal="right" wrapText="1" readingOrder="1"/>
    </xf>
    <xf numFmtId="0" fontId="91" fillId="92" borderId="91" xfId="0" applyFont="1" applyFill="1" applyBorder="1" applyAlignment="1">
      <alignment readingOrder="1"/>
    </xf>
    <xf numFmtId="0" fontId="92" fillId="93" borderId="92" xfId="0" applyFont="1" applyFill="1" applyBorder="1"/>
    <xf numFmtId="0" fontId="93" fillId="94" borderId="93" xfId="0" applyFont="1" applyFill="1" applyBorder="1" applyAlignment="1">
      <alignment horizontal="left" vertical="top" wrapText="1"/>
    </xf>
    <xf numFmtId="0" fontId="94" fillId="95" borderId="94" xfId="0" applyFont="1" applyFill="1" applyBorder="1" applyAlignment="1">
      <alignment horizontal="left" vertical="top" wrapText="1"/>
    </xf>
    <xf numFmtId="0" fontId="95" fillId="96" borderId="95" xfId="0" applyFont="1" applyFill="1" applyBorder="1" applyAlignment="1">
      <alignment horizontal="left" vertical="top" wrapText="1"/>
    </xf>
    <xf numFmtId="0" fontId="96" fillId="97" borderId="96" xfId="0" applyFont="1" applyFill="1" applyBorder="1" applyAlignment="1">
      <alignment horizontal="left" vertical="top" wrapText="1"/>
    </xf>
    <xf numFmtId="0" fontId="97" fillId="98" borderId="97" xfId="0" applyFont="1" applyFill="1" applyBorder="1" applyAlignment="1">
      <alignment horizontal="left" vertical="top" wrapText="1"/>
    </xf>
    <xf numFmtId="0" fontId="98" fillId="99" borderId="98"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xplorer.oecd.org/vis?lc=en&amp;fs%5b0%5d=Topic%2C0%7CEconomy%23ECO%23&amp;fs%5b1%5d=Topic%2C3%7CEconomy%23ECO%23%7CNational%20accounts%23ECO_NAD%23%7CGDP%20and%20non-financial%20accounts%23ECO_NAD_GNF%23%7CProduction%252C%20employment%20and%20investment%23ECO_NAD_GNF_PRD%23&amp;pg=0&amp;fc=Topic&amp;snb=15&amp;vw=tb&amp;df%5bds%5d=dsDisseminateFinalDMZ&amp;df%5bid%5d=DSD_NAMAIN10%40DF_TABLE7&amp;df%5bag%5d=OECD.SDD.NAD&amp;df%5bvs%5d=2.0&amp;dq=A.GBR...EMP..A%2BB%2BC%2BD%2BE%2BF%2BG%2BH%2BI%2BJ%2BK%2BL%2BM%2BN%2BO%2BP%2BQ%2BR%2BS%2BT..PS...&amp;lom=LASTNPERIODS&amp;lo=1&amp;to%5bTIME_PERIOD%5d=false" TargetMode="External"/><Relationship Id="rId1" Type="http://schemas.openxmlformats.org/officeDocument/2006/relationships/hyperlink" Target="https://www.oecd.org/en/about/terms-conditions.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ata-explorer.oecd.org/vis?lc=en&amp;df%5bds%5d=dsDisseminateFinalDMZ&amp;df%5bid%5d=DSD_NAMAIN10%40DF_TABLE6&amp;df%5bag%5d=OECD.SDD.NAD&amp;df%5bvs%5d=2.0" TargetMode="External"/><Relationship Id="rId2" Type="http://schemas.openxmlformats.org/officeDocument/2006/relationships/hyperlink" Target="https://data-explorer.oecd.org/vis?lc=en&amp;df%5bds%5d=dsDisseminateFinalDMZ&amp;df%5bid%5d=DSD_NAMAIN10%40DF_TABLE3_EMPDC&amp;df%5bag%5d=OECD.SDD.NAD&amp;df%5bvs%5d=2.0" TargetMode="External"/><Relationship Id="rId1" Type="http://schemas.openxmlformats.org/officeDocument/2006/relationships/hyperlink" Target="https://data-explorer.oecd.org/vis?lc=en&amp;df%5bds%5d=dsDisseminateFinalDMZ&amp;df%5bid%5d=DSD_NAMAIN10%40DF_TABLE3&amp;df%5bag%5d=OECD.SDD.NAD&amp;df%5bvs%5d=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30"/>
  <sheetViews>
    <sheetView tabSelected="1" topLeftCell="A17" workbookViewId="0">
      <selection activeCell="G9" sqref="G9:G28"/>
    </sheetView>
  </sheetViews>
  <sheetFormatPr defaultRowHeight="15" x14ac:dyDescent="0.25"/>
  <cols>
    <col min="2" max="3" width="20" customWidth="1"/>
    <col min="4" max="5" width="10" customWidth="1"/>
  </cols>
  <sheetData>
    <row r="1" spans="2:7" x14ac:dyDescent="0.25">
      <c r="B1" s="1" t="s">
        <v>0</v>
      </c>
    </row>
    <row r="2" spans="2:7" x14ac:dyDescent="0.25">
      <c r="B2" s="2" t="s">
        <v>1</v>
      </c>
    </row>
    <row r="3" spans="2:7" x14ac:dyDescent="0.25">
      <c r="B3" s="3" t="s">
        <v>2</v>
      </c>
    </row>
    <row r="4" spans="2:7" x14ac:dyDescent="0.25">
      <c r="B4" s="4" t="s">
        <v>3</v>
      </c>
    </row>
    <row r="5" spans="2:7" x14ac:dyDescent="0.25">
      <c r="B5" s="5" t="s">
        <v>4</v>
      </c>
    </row>
    <row r="6" spans="2:7" x14ac:dyDescent="0.25">
      <c r="B6" s="6" t="s">
        <v>5</v>
      </c>
    </row>
    <row r="8" spans="2:7" ht="30" x14ac:dyDescent="0.25">
      <c r="B8" s="7" t="s">
        <v>6</v>
      </c>
      <c r="C8" s="8" t="s">
        <v>7</v>
      </c>
      <c r="D8" s="9" t="s">
        <v>8</v>
      </c>
      <c r="E8" s="10" t="s">
        <v>8</v>
      </c>
    </row>
    <row r="9" spans="2:7" ht="43.15" customHeight="1" x14ac:dyDescent="0.25">
      <c r="B9" s="11" t="s">
        <v>9</v>
      </c>
      <c r="C9" s="12" t="s">
        <v>10</v>
      </c>
      <c r="D9" s="13" t="s">
        <v>8</v>
      </c>
      <c r="E9" s="14">
        <v>358.89100000000002</v>
      </c>
      <c r="G9">
        <f>1000*E9</f>
        <v>358891</v>
      </c>
    </row>
    <row r="10" spans="2:7" ht="43.15" customHeight="1" x14ac:dyDescent="0.25">
      <c r="B10" s="15" t="s">
        <v>11</v>
      </c>
      <c r="C10" s="16" t="s">
        <v>10</v>
      </c>
      <c r="D10" s="17" t="s">
        <v>8</v>
      </c>
      <c r="E10" s="18">
        <v>53.524999999999999</v>
      </c>
      <c r="G10">
        <f t="shared" ref="G10:G28" si="0">1000*E10</f>
        <v>53525</v>
      </c>
    </row>
    <row r="11" spans="2:7" ht="43.15" customHeight="1" x14ac:dyDescent="0.25">
      <c r="B11" s="19" t="s">
        <v>12</v>
      </c>
      <c r="C11" s="20" t="s">
        <v>10</v>
      </c>
      <c r="D11" s="21" t="s">
        <v>8</v>
      </c>
      <c r="E11" s="22">
        <v>2445.0070000000001</v>
      </c>
      <c r="G11">
        <f t="shared" si="0"/>
        <v>2445007</v>
      </c>
    </row>
    <row r="12" spans="2:7" ht="43.15" customHeight="1" x14ac:dyDescent="0.25">
      <c r="B12" s="23" t="s">
        <v>13</v>
      </c>
      <c r="C12" s="24" t="s">
        <v>10</v>
      </c>
      <c r="D12" s="25" t="s">
        <v>8</v>
      </c>
      <c r="E12" s="26">
        <v>131.78899999999999</v>
      </c>
      <c r="G12">
        <f t="shared" si="0"/>
        <v>131789</v>
      </c>
    </row>
    <row r="13" spans="2:7" ht="43.15" customHeight="1" x14ac:dyDescent="0.25">
      <c r="B13" s="27" t="s">
        <v>14</v>
      </c>
      <c r="C13" s="28" t="s">
        <v>10</v>
      </c>
      <c r="D13" s="29" t="s">
        <v>8</v>
      </c>
      <c r="E13" s="30">
        <v>201.53</v>
      </c>
      <c r="G13">
        <f t="shared" si="0"/>
        <v>201530</v>
      </c>
    </row>
    <row r="14" spans="2:7" ht="43.15" customHeight="1" x14ac:dyDescent="0.25">
      <c r="B14" s="31" t="s">
        <v>15</v>
      </c>
      <c r="C14" s="32" t="s">
        <v>10</v>
      </c>
      <c r="D14" s="33" t="s">
        <v>8</v>
      </c>
      <c r="E14" s="34">
        <v>2141.8820000000001</v>
      </c>
      <c r="G14">
        <f t="shared" si="0"/>
        <v>2141882</v>
      </c>
    </row>
    <row r="15" spans="2:7" ht="43.15" customHeight="1" x14ac:dyDescent="0.25">
      <c r="B15" s="35" t="s">
        <v>16</v>
      </c>
      <c r="C15" s="36" t="s">
        <v>10</v>
      </c>
      <c r="D15" s="37" t="s">
        <v>8</v>
      </c>
      <c r="E15" s="38">
        <v>4532.3519999999999</v>
      </c>
      <c r="G15">
        <f t="shared" si="0"/>
        <v>4532352</v>
      </c>
    </row>
    <row r="16" spans="2:7" ht="43.15" customHeight="1" x14ac:dyDescent="0.25">
      <c r="B16" s="39" t="s">
        <v>17</v>
      </c>
      <c r="C16" s="40" t="s">
        <v>10</v>
      </c>
      <c r="D16" s="41" t="s">
        <v>8</v>
      </c>
      <c r="E16" s="42">
        <v>1644.2529999999999</v>
      </c>
      <c r="G16">
        <f t="shared" si="0"/>
        <v>1644253</v>
      </c>
    </row>
    <row r="17" spans="2:7" ht="43.15" customHeight="1" x14ac:dyDescent="0.25">
      <c r="B17" s="43" t="s">
        <v>18</v>
      </c>
      <c r="C17" s="44" t="s">
        <v>10</v>
      </c>
      <c r="D17" s="45" t="s">
        <v>8</v>
      </c>
      <c r="E17" s="46">
        <v>2412.4960000000001</v>
      </c>
      <c r="G17">
        <f t="shared" si="0"/>
        <v>2412496</v>
      </c>
    </row>
    <row r="18" spans="2:7" ht="43.15" customHeight="1" x14ac:dyDescent="0.25">
      <c r="B18" s="47" t="s">
        <v>19</v>
      </c>
      <c r="C18" s="48" t="s">
        <v>10</v>
      </c>
      <c r="D18" s="49" t="s">
        <v>8</v>
      </c>
      <c r="E18" s="50">
        <v>1492.8209999999999</v>
      </c>
      <c r="G18">
        <f t="shared" si="0"/>
        <v>1492821</v>
      </c>
    </row>
    <row r="19" spans="2:7" ht="43.15" customHeight="1" x14ac:dyDescent="0.25">
      <c r="B19" s="51" t="s">
        <v>20</v>
      </c>
      <c r="C19" s="52" t="s">
        <v>10</v>
      </c>
      <c r="D19" s="53" t="s">
        <v>8</v>
      </c>
      <c r="E19" s="54">
        <v>1110.3699999999999</v>
      </c>
      <c r="G19">
        <f t="shared" si="0"/>
        <v>1110370</v>
      </c>
    </row>
    <row r="20" spans="2:7" ht="43.15" customHeight="1" x14ac:dyDescent="0.25">
      <c r="B20" s="55" t="s">
        <v>21</v>
      </c>
      <c r="C20" s="56" t="s">
        <v>10</v>
      </c>
      <c r="D20" s="57" t="s">
        <v>8</v>
      </c>
      <c r="E20" s="58">
        <v>629.75800000000004</v>
      </c>
      <c r="G20">
        <f t="shared" si="0"/>
        <v>629758</v>
      </c>
    </row>
    <row r="21" spans="2:7" ht="43.15" customHeight="1" x14ac:dyDescent="0.25">
      <c r="B21" s="59" t="s">
        <v>22</v>
      </c>
      <c r="C21" s="60" t="s">
        <v>10</v>
      </c>
      <c r="D21" s="61" t="s">
        <v>8</v>
      </c>
      <c r="E21" s="62">
        <v>2975.8119999999999</v>
      </c>
      <c r="G21">
        <f t="shared" si="0"/>
        <v>2975812</v>
      </c>
    </row>
    <row r="22" spans="2:7" ht="43.15" customHeight="1" x14ac:dyDescent="0.25">
      <c r="B22" s="63" t="s">
        <v>23</v>
      </c>
      <c r="C22" s="64" t="s">
        <v>10</v>
      </c>
      <c r="D22" s="65" t="s">
        <v>8</v>
      </c>
      <c r="E22" s="66">
        <v>2734.4340000000002</v>
      </c>
      <c r="G22">
        <f t="shared" si="0"/>
        <v>2734434</v>
      </c>
    </row>
    <row r="23" spans="2:7" ht="43.15" customHeight="1" x14ac:dyDescent="0.25">
      <c r="B23" s="67" t="s">
        <v>24</v>
      </c>
      <c r="C23" s="68" t="s">
        <v>10</v>
      </c>
      <c r="D23" s="69" t="s">
        <v>8</v>
      </c>
      <c r="E23" s="70">
        <v>1567.856</v>
      </c>
      <c r="G23">
        <f t="shared" si="0"/>
        <v>1567856</v>
      </c>
    </row>
    <row r="24" spans="2:7" ht="43.15" customHeight="1" x14ac:dyDescent="0.25">
      <c r="B24" s="71" t="s">
        <v>25</v>
      </c>
      <c r="C24" s="72" t="s">
        <v>10</v>
      </c>
      <c r="D24" s="73" t="s">
        <v>8</v>
      </c>
      <c r="E24" s="74">
        <v>2723.3490000000002</v>
      </c>
      <c r="G24">
        <f t="shared" si="0"/>
        <v>2723349</v>
      </c>
    </row>
    <row r="25" spans="2:7" ht="43.15" customHeight="1" x14ac:dyDescent="0.25">
      <c r="B25" s="75" t="s">
        <v>26</v>
      </c>
      <c r="C25" s="76" t="s">
        <v>10</v>
      </c>
      <c r="D25" s="77" t="s">
        <v>8</v>
      </c>
      <c r="E25" s="78">
        <v>4545.9409999999998</v>
      </c>
      <c r="G25">
        <f t="shared" si="0"/>
        <v>4545941</v>
      </c>
    </row>
    <row r="26" spans="2:7" ht="43.15" customHeight="1" x14ac:dyDescent="0.25">
      <c r="B26" s="79" t="s">
        <v>27</v>
      </c>
      <c r="C26" s="80" t="s">
        <v>10</v>
      </c>
      <c r="D26" s="81" t="s">
        <v>8</v>
      </c>
      <c r="E26" s="82">
        <v>963.524</v>
      </c>
      <c r="G26">
        <f t="shared" si="0"/>
        <v>963524</v>
      </c>
    </row>
    <row r="27" spans="2:7" ht="43.15" customHeight="1" x14ac:dyDescent="0.25">
      <c r="B27" s="83" t="s">
        <v>28</v>
      </c>
      <c r="C27" s="84" t="s">
        <v>10</v>
      </c>
      <c r="D27" s="85" t="s">
        <v>8</v>
      </c>
      <c r="E27" s="86">
        <v>889.97699999999998</v>
      </c>
      <c r="G27">
        <f t="shared" si="0"/>
        <v>889977</v>
      </c>
    </row>
    <row r="28" spans="2:7" ht="43.15" customHeight="1" x14ac:dyDescent="0.25">
      <c r="B28" s="87" t="s">
        <v>29</v>
      </c>
      <c r="C28" s="88" t="s">
        <v>10</v>
      </c>
      <c r="D28" s="89" t="s">
        <v>8</v>
      </c>
      <c r="E28" s="90">
        <v>57.176000000000002</v>
      </c>
      <c r="G28">
        <f t="shared" si="0"/>
        <v>57176</v>
      </c>
    </row>
    <row r="30" spans="2:7" x14ac:dyDescent="0.25">
      <c r="B30" s="91" t="s">
        <v>30</v>
      </c>
      <c r="F30" s="92" t="s">
        <v>0</v>
      </c>
    </row>
  </sheetData>
  <hyperlinks>
    <hyperlink ref="B30" r:id="rId1" xr:uid="{00000000-0004-0000-0000-000000000000}"/>
    <hyperlink ref="F30"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5"/>
  <sheetViews>
    <sheetView workbookViewId="0"/>
  </sheetViews>
  <sheetFormatPr defaultRowHeight="15" x14ac:dyDescent="0.25"/>
  <cols>
    <col min="2" max="2" width="115" style="93" customWidth="1"/>
  </cols>
  <sheetData>
    <row r="1" spans="2:2" x14ac:dyDescent="0.25">
      <c r="B1" s="94" t="s">
        <v>0</v>
      </c>
    </row>
    <row r="2" spans="2:2" ht="55.5" customHeight="1" x14ac:dyDescent="0.25">
      <c r="B2" s="93" t="s">
        <v>31</v>
      </c>
    </row>
    <row r="4" spans="2:2" ht="39.75" customHeight="1" x14ac:dyDescent="0.25">
      <c r="B4" s="93" t="s">
        <v>32</v>
      </c>
    </row>
    <row r="6" spans="2:2" ht="39.75" customHeight="1" x14ac:dyDescent="0.25">
      <c r="B6" s="93" t="s">
        <v>33</v>
      </c>
    </row>
    <row r="8" spans="2:2" x14ac:dyDescent="0.25">
      <c r="B8" s="93" t="s">
        <v>34</v>
      </c>
    </row>
    <row r="9" spans="2:2" x14ac:dyDescent="0.25">
      <c r="B9" s="93" t="s">
        <v>35</v>
      </c>
    </row>
    <row r="12" spans="2:2" x14ac:dyDescent="0.25">
      <c r="B12" s="95" t="s">
        <v>36</v>
      </c>
    </row>
    <row r="13" spans="2:2" x14ac:dyDescent="0.25">
      <c r="B13" s="96" t="s">
        <v>37</v>
      </c>
    </row>
    <row r="14" spans="2:2" x14ac:dyDescent="0.25">
      <c r="B14" s="97" t="s">
        <v>38</v>
      </c>
    </row>
    <row r="15" spans="2:2" x14ac:dyDescent="0.25">
      <c r="B15" s="98" t="s">
        <v>39</v>
      </c>
    </row>
  </sheetData>
  <hyperlinks>
    <hyperlink ref="B13" r:id="rId1" xr:uid="{00000000-0004-0000-0100-000000000000}"/>
    <hyperlink ref="B14" r:id="rId2" xr:uid="{00000000-0004-0000-0100-000001000000}"/>
    <hyperlink ref="B15" r:id="rId3"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Doohan</dc:creator>
  <cp:lastModifiedBy>Doohan, Patrick E</cp:lastModifiedBy>
  <dcterms:created xsi:type="dcterms:W3CDTF">2026-03-23T15:59:25Z</dcterms:created>
  <dcterms:modified xsi:type="dcterms:W3CDTF">2026-03-23T16:28:35Z</dcterms:modified>
</cp:coreProperties>
</file>